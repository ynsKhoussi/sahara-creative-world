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CAG 2.2 AA Checklis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<sst xmlns="http://schemas.openxmlformats.org/spreadsheetml/2006/main" count="409" uniqueCount="241">
  <si>
    <t xml:space="preserve">#</t>
  </si>
  <si>
    <t xml:space="preserve">SC</t>
  </si>
  <si>
    <t xml:space="preserve">Success criterion</t>
  </si>
  <si>
    <t xml:space="preserve">Level</t>
  </si>
  <si>
    <t xml:space="preserve">Principle</t>
  </si>
  <si>
    <t xml:space="preserve">What to check</t>
  </si>
  <si>
    <t xml:space="preserve">How to test</t>
  </si>
  <si>
    <t xml:space="preserve">Status</t>
  </si>
  <si>
    <t xml:space="preserve">Evidence / notes</t>
  </si>
  <si>
    <t xml:space="preserve">Page or template tested</t>
  </si>
  <si>
    <t xml:space="preserve">1.1.1</t>
  </si>
  <si>
    <t xml:space="preserve">Non-text Content</t>
  </si>
  <si>
    <t xml:space="preserve">A</t>
  </si>
  <si>
    <t xml:space="preserve">Perceivable</t>
  </si>
  <si>
    <t xml:space="preserve">Every image, icon, chart conveys meaning via alt text (or is marked decorative)</t>
  </si>
  <si>
    <t xml:space="preserve">Automated scan + manual review of alt text quality</t>
  </si>
  <si>
    <t xml:space="preserve">Not tested</t>
  </si>
  <si>
    <t xml:space="preserve">1.2.1</t>
  </si>
  <si>
    <t xml:space="preserve">Audio-only and Video-only (Prerecorded)</t>
  </si>
  <si>
    <t xml:space="preserve">Prerecorded audio/video-only content has a text alternative</t>
  </si>
  <si>
    <t xml:space="preserve">Manual review of media pages</t>
  </si>
  <si>
    <t xml:space="preserve">1.2.2</t>
  </si>
  <si>
    <t xml:space="preserve">Captions (Prerecorded)</t>
  </si>
  <si>
    <t xml:space="preserve">Prerecorded video has accurate captions</t>
  </si>
  <si>
    <t xml:space="preserve">Manual review of video content</t>
  </si>
  <si>
    <t xml:space="preserve">1.2.3</t>
  </si>
  <si>
    <t xml:space="preserve">Audio Description or Media Alternative (Prerecorded)</t>
  </si>
  <si>
    <t xml:space="preserve">Prerecorded video has audio description or full text alternative</t>
  </si>
  <si>
    <t xml:space="preserve">1.3.1</t>
  </si>
  <si>
    <t xml:space="preserve">Info and Relationships</t>
  </si>
  <si>
    <t xml:space="preserve">Headings, lists, tables use real semantic markup, not just visual styling</t>
  </si>
  <si>
    <t xml:space="preserve">Automated scan + inspect DOM/markup</t>
  </si>
  <si>
    <t xml:space="preserve">1.3.2</t>
  </si>
  <si>
    <t xml:space="preserve">Meaningful Sequence</t>
  </si>
  <si>
    <t xml:space="preserve">Reading order in code matches visual order</t>
  </si>
  <si>
    <t xml:space="preserve">Manual: disable CSS, check order; screen reader test</t>
  </si>
  <si>
    <t xml:space="preserve">1.3.3</t>
  </si>
  <si>
    <t xml:space="preserve">Sensory Characteristics</t>
  </si>
  <si>
    <t xml:space="preserve">Instructions don't rely only on shape, color, or position (e.g. 'click the round button')</t>
  </si>
  <si>
    <t xml:space="preserve">Manual content review</t>
  </si>
  <si>
    <t xml:space="preserve">1.4.1</t>
  </si>
  <si>
    <t xml:space="preserve">Use of Color</t>
  </si>
  <si>
    <t xml:space="preserve">Color is never the only way information is conveyed (errors, links, charts)</t>
  </si>
  <si>
    <t xml:space="preserve">Manual review, simulate color blindness</t>
  </si>
  <si>
    <t xml:space="preserve">1.4.2</t>
  </si>
  <si>
    <t xml:space="preserve">Audio Control</t>
  </si>
  <si>
    <t xml:space="preserve">Auto-playing audio can be paused, stopped, or muted</t>
  </si>
  <si>
    <t xml:space="preserve">Manual review of any auto-playing media</t>
  </si>
  <si>
    <t xml:space="preserve">1.2.4</t>
  </si>
  <si>
    <t xml:space="preserve">Captions (Live)</t>
  </si>
  <si>
    <t xml:space="preserve">AA</t>
  </si>
  <si>
    <t xml:space="preserve">Live audio/video content has live captions</t>
  </si>
  <si>
    <t xml:space="preserve">Manual review of live streams</t>
  </si>
  <si>
    <t xml:space="preserve">1.2.5</t>
  </si>
  <si>
    <t xml:space="preserve">Audio Description (Prerecorded)</t>
  </si>
  <si>
    <t xml:space="preserve">Prerecorded video has audio description track</t>
  </si>
  <si>
    <t xml:space="preserve">1.3.4</t>
  </si>
  <si>
    <t xml:space="preserve">Orientation</t>
  </si>
  <si>
    <t xml:space="preserve">Content works in both portrait and landscape, unless orientation is essential</t>
  </si>
  <si>
    <t xml:space="preserve">Manual test: rotate device/viewport</t>
  </si>
  <si>
    <t xml:space="preserve">1.3.5</t>
  </si>
  <si>
    <t xml:space="preserve">Identify Input Purpose</t>
  </si>
  <si>
    <t xml:space="preserve">Common form fields (name, email, address) use autocomplete attributes</t>
  </si>
  <si>
    <t xml:space="preserve">Inspect form field markup</t>
  </si>
  <si>
    <t xml:space="preserve">1.4.3</t>
  </si>
  <si>
    <t xml:space="preserve">Contrast (Minimum)</t>
  </si>
  <si>
    <t xml:space="preserve">Text has at least 4.5:1 contrast against background (3:1 for large text)</t>
  </si>
  <si>
    <t xml:space="preserve">Automated scan + WebAIM contrast checker</t>
  </si>
  <si>
    <t xml:space="preserve">1.4.4</t>
  </si>
  <si>
    <t xml:space="preserve">Resize Text</t>
  </si>
  <si>
    <t xml:space="preserve">Text can be resized to 200% without loss of content or function</t>
  </si>
  <si>
    <t xml:space="preserve">Manual: browser zoom to 200%</t>
  </si>
  <si>
    <t xml:space="preserve">1.4.5</t>
  </si>
  <si>
    <t xml:space="preserve">Images of Text</t>
  </si>
  <si>
    <t xml:space="preserve">Real text is used instead of images of text, except logos</t>
  </si>
  <si>
    <t xml:space="preserve">1.4.10</t>
  </si>
  <si>
    <t xml:space="preserve">Reflow</t>
  </si>
  <si>
    <t xml:space="preserve">Content reflows at 400% zoom / 320px width without horizontal scrolling</t>
  </si>
  <si>
    <t xml:space="preserve">Manual: zoom to 400%, resize viewport</t>
  </si>
  <si>
    <t xml:space="preserve">1.4.11</t>
  </si>
  <si>
    <t xml:space="preserve">Non-text Contrast</t>
  </si>
  <si>
    <t xml:space="preserve">UI components and graphical objects have at least 3:1 contrast</t>
  </si>
  <si>
    <t xml:space="preserve">Automated scan + manual check of buttons/icons/borders</t>
  </si>
  <si>
    <t xml:space="preserve">1.4.12</t>
  </si>
  <si>
    <t xml:space="preserve">Text Spacing</t>
  </si>
  <si>
    <t xml:space="preserve">Content remains usable when line height, spacing, letter spacing are increased</t>
  </si>
  <si>
    <t xml:space="preserve">Manual: apply text spacing bookmarklet/override</t>
  </si>
  <si>
    <t xml:space="preserve">1.4.13</t>
  </si>
  <si>
    <t xml:space="preserve">Content on Hover or Focus</t>
  </si>
  <si>
    <t xml:space="preserve">Tooltips/popups on hover or focus are dismissible, hoverable, and persistent</t>
  </si>
  <si>
    <t xml:space="preserve">Manual keyboard and mouse test</t>
  </si>
  <si>
    <t xml:space="preserve">2.1.1</t>
  </si>
  <si>
    <t xml:space="preserve">Keyboard</t>
  </si>
  <si>
    <t xml:space="preserve">Operable</t>
  </si>
  <si>
    <t xml:space="preserve">All functionality is operable with a keyboard alone</t>
  </si>
  <si>
    <t xml:space="preserve">Manual: unplug mouse, tab through entire site</t>
  </si>
  <si>
    <t xml:space="preserve">2.1.2</t>
  </si>
  <si>
    <t xml:space="preserve">No Keyboard Trap</t>
  </si>
  <si>
    <t xml:space="preserve">Keyboard focus is never trapped in a component</t>
  </si>
  <si>
    <t xml:space="preserve">Manual keyboard test on modals, menus, embeds</t>
  </si>
  <si>
    <t xml:space="preserve">2.1.4</t>
  </si>
  <si>
    <t xml:space="preserve">Character Key Shortcuts</t>
  </si>
  <si>
    <t xml:space="preserve">Single-key shortcuts can be turned off, remapped, or are only active on focus</t>
  </si>
  <si>
    <t xml:space="preserve">Manual review of any custom shortcuts</t>
  </si>
  <si>
    <t xml:space="preserve">2.2.1</t>
  </si>
  <si>
    <t xml:space="preserve">Timing Adjustable</t>
  </si>
  <si>
    <t xml:space="preserve">Users can extend, adjust, or disable time limits</t>
  </si>
  <si>
    <t xml:space="preserve">Manual review of session timeouts, timed content</t>
  </si>
  <si>
    <t xml:space="preserve">2.2.2</t>
  </si>
  <si>
    <t xml:space="preserve">Pause, Stop, Hide</t>
  </si>
  <si>
    <t xml:space="preserve">Moving, blinking, scrolling, or auto-updating content can be paused</t>
  </si>
  <si>
    <t xml:space="preserve">Manual review of carousels, animations, auto-refresh</t>
  </si>
  <si>
    <t xml:space="preserve">2.3.1</t>
  </si>
  <si>
    <t xml:space="preserve">Three Flashes or Below Threshold</t>
  </si>
  <si>
    <t xml:space="preserve">Nothing flashes more than 3 times per second</t>
  </si>
  <si>
    <t xml:space="preserve">Manual review of animations/video</t>
  </si>
  <si>
    <t xml:space="preserve">2.4.1</t>
  </si>
  <si>
    <t xml:space="preserve">Bypass Blocks</t>
  </si>
  <si>
    <t xml:space="preserve">A skip link or landmark lets users bypass repeated navigation</t>
  </si>
  <si>
    <t xml:space="preserve">Manual: first Tab press on every template</t>
  </si>
  <si>
    <t xml:space="preserve">2.4.2</t>
  </si>
  <si>
    <t xml:space="preserve">Page Titled</t>
  </si>
  <si>
    <t xml:space="preserve">Every page has a unique, descriptive &lt;title&gt;</t>
  </si>
  <si>
    <t xml:space="preserve">Automated scan + manual review</t>
  </si>
  <si>
    <t xml:space="preserve">2.4.3</t>
  </si>
  <si>
    <t xml:space="preserve">Focus Order</t>
  </si>
  <si>
    <t xml:space="preserve">Tab order follows a logical, meaningful sequence</t>
  </si>
  <si>
    <t xml:space="preserve">Manual keyboard test</t>
  </si>
  <si>
    <t xml:space="preserve">2.4.4</t>
  </si>
  <si>
    <t xml:space="preserve">Link Purpose (In Context)</t>
  </si>
  <si>
    <t xml:space="preserve">Link text (with context) makes the destination clear, avoid 'click here'</t>
  </si>
  <si>
    <t xml:space="preserve">2.5.1</t>
  </si>
  <si>
    <t xml:space="preserve">Pointer Gestures</t>
  </si>
  <si>
    <t xml:space="preserve">Multipoint or path-based gestures have a single-pointer alternative</t>
  </si>
  <si>
    <t xml:space="preserve">Manual review of swipe/drag interactions</t>
  </si>
  <si>
    <t xml:space="preserve">2.5.2</t>
  </si>
  <si>
    <t xml:space="preserve">Pointer Cancellation</t>
  </si>
  <si>
    <t xml:space="preserve">Actions can be cancelled before completion (e.g. on mouse-up, not mouse-down)</t>
  </si>
  <si>
    <t xml:space="preserve">Manual test of click/tap actions</t>
  </si>
  <si>
    <t xml:space="preserve">2.5.3</t>
  </si>
  <si>
    <t xml:space="preserve">Label in Name</t>
  </si>
  <si>
    <t xml:space="preserve">Visible button/link text is included in its accessible name</t>
  </si>
  <si>
    <t xml:space="preserve">Inspect accessible name vs visible label</t>
  </si>
  <si>
    <t xml:space="preserve">2.5.4</t>
  </si>
  <si>
    <t xml:space="preserve">Motion Actuation</t>
  </si>
  <si>
    <t xml:space="preserve">Features triggered by device motion have a UI alternative and can be disabled</t>
  </si>
  <si>
    <t xml:space="preserve">Manual review of motion-triggered features</t>
  </si>
  <si>
    <t xml:space="preserve">2.4.5</t>
  </si>
  <si>
    <t xml:space="preserve">Multiple Ways</t>
  </si>
  <si>
    <t xml:space="preserve">More than one way exists to find a page (search, sitemap, nav)</t>
  </si>
  <si>
    <t xml:space="preserve">Manual review of site navigation</t>
  </si>
  <si>
    <t xml:space="preserve">2.4.6</t>
  </si>
  <si>
    <t xml:space="preserve">Headings and Labels</t>
  </si>
  <si>
    <t xml:space="preserve">Headings and form labels describe topic or purpose accurately</t>
  </si>
  <si>
    <t xml:space="preserve">2.4.7</t>
  </si>
  <si>
    <t xml:space="preserve">Focus Visible</t>
  </si>
  <si>
    <t xml:space="preserve">A visible focus indicator appears on every focusable element</t>
  </si>
  <si>
    <t xml:space="preserve">Manual keyboard test on every template</t>
  </si>
  <si>
    <t xml:space="preserve">2.4.11</t>
  </si>
  <si>
    <t xml:space="preserve">Focus Not Obscured (Minimum)</t>
  </si>
  <si>
    <t xml:space="preserve">Focused elements are not entirely hidden by sticky headers, cookie banners, etc.</t>
  </si>
  <si>
    <t xml:space="preserve">Manual keyboard test with sticky elements present</t>
  </si>
  <si>
    <t xml:space="preserve">2.5.7</t>
  </si>
  <si>
    <t xml:space="preserve">Dragging Movements</t>
  </si>
  <si>
    <t xml:space="preserve">Any drag interaction has a single-pointer alternative (e.g. buttons)</t>
  </si>
  <si>
    <t xml:space="preserve">Manual review of drag-and-drop features</t>
  </si>
  <si>
    <t xml:space="preserve">2.5.8</t>
  </si>
  <si>
    <t xml:space="preserve">Target Size (Minimum)</t>
  </si>
  <si>
    <t xml:space="preserve">Clickable targets are at least 24x24 CSS pixels, or adequately spaced</t>
  </si>
  <si>
    <t xml:space="preserve">Manual measurement of buttons/links/icons</t>
  </si>
  <si>
    <t xml:space="preserve">3.1.1</t>
  </si>
  <si>
    <t xml:space="preserve">Language of Page</t>
  </si>
  <si>
    <t xml:space="preserve">Understandable</t>
  </si>
  <si>
    <t xml:space="preserve">The page's primary language is set in code (lang attribute)</t>
  </si>
  <si>
    <t xml:space="preserve">Inspect &lt;html lang=''&gt; attribute</t>
  </si>
  <si>
    <t xml:space="preserve">3.2.1</t>
  </si>
  <si>
    <t xml:space="preserve">On Focus</t>
  </si>
  <si>
    <t xml:space="preserve">Focusing an element never triggers an unexpected change of context</t>
  </si>
  <si>
    <t xml:space="preserve">3.2.2</t>
  </si>
  <si>
    <t xml:space="preserve">On Input</t>
  </si>
  <si>
    <t xml:space="preserve">Changing a form value never triggers an unexpected change of context</t>
  </si>
  <si>
    <t xml:space="preserve">Manual test of form fields, dropdowns</t>
  </si>
  <si>
    <t xml:space="preserve">3.2.6</t>
  </si>
  <si>
    <t xml:space="preserve">Consistent Help</t>
  </si>
  <si>
    <t xml:space="preserve">Help mechanisms (contact, chat, FAQ) appear in the same place across pages</t>
  </si>
  <si>
    <t xml:space="preserve">Manual review across templates</t>
  </si>
  <si>
    <t xml:space="preserve">3.3.1</t>
  </si>
  <si>
    <t xml:space="preserve">Error Identification</t>
  </si>
  <si>
    <t xml:space="preserve">Form errors are clearly identified and described in text</t>
  </si>
  <si>
    <t xml:space="preserve">Manual test: submit forms with errors</t>
  </si>
  <si>
    <t xml:space="preserve">3.3.2</t>
  </si>
  <si>
    <t xml:space="preserve">Labels or Instructions</t>
  </si>
  <si>
    <t xml:space="preserve">Form fields have clear labels or instructions</t>
  </si>
  <si>
    <t xml:space="preserve">Manual review of all forms</t>
  </si>
  <si>
    <t xml:space="preserve">3.3.7</t>
  </si>
  <si>
    <t xml:space="preserve">Redundant Entry</t>
  </si>
  <si>
    <t xml:space="preserve">Information already entered isn't required again in the same process</t>
  </si>
  <si>
    <t xml:space="preserve">Manual test of multi-step forms</t>
  </si>
  <si>
    <t xml:space="preserve">3.1.2</t>
  </si>
  <si>
    <t xml:space="preserve">Language of Parts</t>
  </si>
  <si>
    <t xml:space="preserve">Language changes within a page are marked up (e.g. lang='fr' on a quote)</t>
  </si>
  <si>
    <t xml:space="preserve">Inspect markup for foreign-language passages</t>
  </si>
  <si>
    <t xml:space="preserve">3.2.3</t>
  </si>
  <si>
    <t xml:space="preserve">Consistent Navigation</t>
  </si>
  <si>
    <t xml:space="preserve">Navigation appears in the same relative order across pages</t>
  </si>
  <si>
    <t xml:space="preserve">3.2.4</t>
  </si>
  <si>
    <t xml:space="preserve">Consistent Identification</t>
  </si>
  <si>
    <t xml:space="preserve">Components with the same function are labeled consistently across pages</t>
  </si>
  <si>
    <t xml:space="preserve">3.3.3</t>
  </si>
  <si>
    <t xml:space="preserve">Error Suggestion</t>
  </si>
  <si>
    <t xml:space="preserve">Where possible, error messages suggest how to fix the problem</t>
  </si>
  <si>
    <t xml:space="preserve">3.3.4</t>
  </si>
  <si>
    <t xml:space="preserve">Error Prevention (Legal, Financial, Data)</t>
  </si>
  <si>
    <t xml:space="preserve">Legal/financial/data-modifying submissions can be reviewed, confirmed, or reversed</t>
  </si>
  <si>
    <t xml:space="preserve">Manual test of checkout, account changes, deletions</t>
  </si>
  <si>
    <t xml:space="preserve">3.3.8</t>
  </si>
  <si>
    <t xml:space="preserve">Accessible Authentication (Minimum)</t>
  </si>
  <si>
    <t xml:space="preserve">Login doesn't require a cognitive test (e.g. puzzle) without an alternative</t>
  </si>
  <si>
    <t xml:space="preserve">Manual review of login/authentication flow</t>
  </si>
  <si>
    <t xml:space="preserve">4.1.2</t>
  </si>
  <si>
    <t xml:space="preserve">Name, Role, Value</t>
  </si>
  <si>
    <t xml:space="preserve">Robust</t>
  </si>
  <si>
    <t xml:space="preserve">Custom UI components expose correct name, role, state to assistive tech</t>
  </si>
  <si>
    <t xml:space="preserve">Automated scan + screen reader test on custom widgets</t>
  </si>
  <si>
    <t xml:space="preserve">4.1.3</t>
  </si>
  <si>
    <t xml:space="preserve">Status Messages</t>
  </si>
  <si>
    <t xml:space="preserve">Status updates (e.g. 'item added to cart') are announced without moving focus</t>
  </si>
  <si>
    <t xml:space="preserve">Screen reader test of dynamic status updates</t>
  </si>
  <si>
    <t xml:space="preserve">WCAG 2.2 Level AA conformance summary</t>
  </si>
  <si>
    <t xml:space="preserve">Client / site:</t>
  </si>
  <si>
    <t xml:space="preserve">Date of audit:</t>
  </si>
  <si>
    <t xml:space="preserve">Auditor:</t>
  </si>
  <si>
    <t xml:space="preserve">Results</t>
  </si>
  <si>
    <t xml:space="preserve">Total success criteria</t>
  </si>
  <si>
    <t xml:space="preserve">Level A criteria</t>
  </si>
  <si>
    <t xml:space="preserve">Level AA criteria</t>
  </si>
  <si>
    <t xml:space="preserve">Passed</t>
  </si>
  <si>
    <t xml:space="preserve">Failed</t>
  </si>
  <si>
    <t xml:space="preserve">N/A</t>
  </si>
  <si>
    <t xml:space="preserve">% complete (Pass + N/A)</t>
  </si>
  <si>
    <t xml:space="preserve">Conformance requires ALL Level A and AA criteria to be Pass or N/A on every page/template in the process being tested.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</si>
</sst>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2939"/>
        <bgColor rgb="FF003366"/>
      </patternFill>
    </fill>
    <fill>
      <patternFill patternType="solid">
        <fgColor rgb="FFE6F1FB"/>
        <bgColor rgb="FFEEEDFE"/>
      </patternFill>
    </fill>
    <fill>
      <patternFill patternType="solid">
        <fgColor rgb="FFEEEDFE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F2E3"/>
        </patternFill>
      </fill>
    </dxf>
    <dxf>
      <fill>
        <patternFill>
          <bgColor rgb="FFFBDADA"/>
        </patternFill>
      </fill>
    </dxf>
    <dxf>
      <fill>
        <patternFill>
          <bgColor rgb="FFEFEFEF"/>
        </patternFill>
      </fill>
    </dxf>
    <dxf>
      <fill>
        <patternFill>
          <bgColor rgb="FFFFF6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E6F1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D9F2E3"/>
      <rgbColor rgb="FFEFEFEF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2" t="s">
        <v>10</v>
      </c>
      <c r="C2" s="3" t="s">
        <v>11</v>
      </c>
      <c r="D2" s="4" t="s">
        <v>12</v>
      </c>
      <c r="E2" s="2" t="s">
        <v>13</v>
      </c>
      <c r="F2" s="3" t="s">
        <v>14</v>
      </c>
      <c r="G2" s="3" t="s">
        <v>15</v>
      </c>
      <c r="H2" s="2" t="s">
        <v>16</v>
      </c>
      <c r="I2" s="3"/>
      <c r="J2" s="3"/>
    </row>
    <row r="3" customFormat="false" ht="23.85" hidden="false" customHeight="false" outlineLevel="0" collapsed="false">
      <c r="A3" s="2" t="n">
        <v>2</v>
      </c>
      <c r="B3" s="2" t="s">
        <v>17</v>
      </c>
      <c r="C3" s="3" t="s">
        <v>18</v>
      </c>
      <c r="D3" s="4" t="s">
        <v>12</v>
      </c>
      <c r="E3" s="2" t="s">
        <v>13</v>
      </c>
      <c r="F3" s="3" t="s">
        <v>19</v>
      </c>
      <c r="G3" s="3" t="s">
        <v>20</v>
      </c>
      <c r="H3" s="2" t="s">
        <v>16</v>
      </c>
      <c r="I3" s="3"/>
      <c r="J3" s="3"/>
    </row>
    <row r="4" customFormat="false" ht="15" hidden="false" customHeight="false" outlineLevel="0" collapsed="false">
      <c r="A4" s="2" t="n">
        <v>3</v>
      </c>
      <c r="B4" s="2" t="s">
        <v>21</v>
      </c>
      <c r="C4" s="3" t="s">
        <v>22</v>
      </c>
      <c r="D4" s="4" t="s">
        <v>12</v>
      </c>
      <c r="E4" s="2" t="s">
        <v>13</v>
      </c>
      <c r="F4" s="3" t="s">
        <v>23</v>
      </c>
      <c r="G4" s="3" t="s">
        <v>24</v>
      </c>
      <c r="H4" s="2" t="s">
        <v>16</v>
      </c>
      <c r="I4" s="3"/>
      <c r="J4" s="3"/>
    </row>
    <row r="5" customFormat="false" ht="23.85" hidden="false" customHeight="false" outlineLevel="0" collapsed="false">
      <c r="A5" s="2" t="n">
        <v>4</v>
      </c>
      <c r="B5" s="2" t="s">
        <v>25</v>
      </c>
      <c r="C5" s="3" t="s">
        <v>26</v>
      </c>
      <c r="D5" s="4" t="s">
        <v>12</v>
      </c>
      <c r="E5" s="2" t="s">
        <v>13</v>
      </c>
      <c r="F5" s="3" t="s">
        <v>27</v>
      </c>
      <c r="G5" s="3" t="s">
        <v>24</v>
      </c>
      <c r="H5" s="2" t="s">
        <v>16</v>
      </c>
      <c r="I5" s="3"/>
      <c r="J5" s="3"/>
    </row>
    <row r="6" customFormat="false" ht="23.85" hidden="false" customHeight="false" outlineLevel="0" collapsed="false">
      <c r="A6" s="2" t="n">
        <v>5</v>
      </c>
      <c r="B6" s="2" t="s">
        <v>28</v>
      </c>
      <c r="C6" s="3" t="s">
        <v>29</v>
      </c>
      <c r="D6" s="4" t="s">
        <v>12</v>
      </c>
      <c r="E6" s="2" t="s">
        <v>13</v>
      </c>
      <c r="F6" s="3" t="s">
        <v>30</v>
      </c>
      <c r="G6" s="3" t="s">
        <v>31</v>
      </c>
      <c r="H6" s="2" t="s">
        <v>16</v>
      </c>
      <c r="I6" s="3"/>
      <c r="J6" s="3"/>
    </row>
    <row r="7" customFormat="false" ht="23.85" hidden="false" customHeight="false" outlineLevel="0" collapsed="false">
      <c r="A7" s="2" t="n">
        <v>6</v>
      </c>
      <c r="B7" s="2" t="s">
        <v>32</v>
      </c>
      <c r="C7" s="3" t="s">
        <v>33</v>
      </c>
      <c r="D7" s="4" t="s">
        <v>12</v>
      </c>
      <c r="E7" s="2" t="s">
        <v>13</v>
      </c>
      <c r="F7" s="3" t="s">
        <v>34</v>
      </c>
      <c r="G7" s="3" t="s">
        <v>35</v>
      </c>
      <c r="H7" s="2" t="s">
        <v>16</v>
      </c>
      <c r="I7" s="3"/>
      <c r="J7" s="3"/>
    </row>
    <row r="8" customFormat="false" ht="23.85" hidden="false" customHeight="false" outlineLevel="0" collapsed="false">
      <c r="A8" s="2" t="n">
        <v>7</v>
      </c>
      <c r="B8" s="2" t="s">
        <v>36</v>
      </c>
      <c r="C8" s="3" t="s">
        <v>37</v>
      </c>
      <c r="D8" s="4" t="s">
        <v>12</v>
      </c>
      <c r="E8" s="2" t="s">
        <v>13</v>
      </c>
      <c r="F8" s="3" t="s">
        <v>38</v>
      </c>
      <c r="G8" s="3" t="s">
        <v>39</v>
      </c>
      <c r="H8" s="2" t="s">
        <v>16</v>
      </c>
      <c r="I8" s="3"/>
      <c r="J8" s="3"/>
    </row>
    <row r="9" customFormat="false" ht="23.85" hidden="false" customHeight="false" outlineLevel="0" collapsed="false">
      <c r="A9" s="2" t="n">
        <v>8</v>
      </c>
      <c r="B9" s="2" t="s">
        <v>40</v>
      </c>
      <c r="C9" s="3" t="s">
        <v>41</v>
      </c>
      <c r="D9" s="4" t="s">
        <v>12</v>
      </c>
      <c r="E9" s="2" t="s">
        <v>13</v>
      </c>
      <c r="F9" s="3" t="s">
        <v>42</v>
      </c>
      <c r="G9" s="3" t="s">
        <v>43</v>
      </c>
      <c r="H9" s="2" t="s">
        <v>16</v>
      </c>
      <c r="I9" s="3"/>
      <c r="J9" s="3"/>
    </row>
    <row r="10" customFormat="false" ht="23.85" hidden="false" customHeight="false" outlineLevel="0" collapsed="false">
      <c r="A10" s="2" t="n">
        <v>9</v>
      </c>
      <c r="B10" s="2" t="s">
        <v>44</v>
      </c>
      <c r="C10" s="3" t="s">
        <v>45</v>
      </c>
      <c r="D10" s="4" t="s">
        <v>12</v>
      </c>
      <c r="E10" s="2" t="s">
        <v>13</v>
      </c>
      <c r="F10" s="3" t="s">
        <v>46</v>
      </c>
      <c r="G10" s="3" t="s">
        <v>47</v>
      </c>
      <c r="H10" s="2" t="s">
        <v>16</v>
      </c>
      <c r="I10" s="3"/>
      <c r="J10" s="3"/>
    </row>
    <row r="11" customFormat="false" ht="15" hidden="false" customHeight="false" outlineLevel="0" collapsed="false">
      <c r="A11" s="2" t="n">
        <v>10</v>
      </c>
      <c r="B11" s="2" t="s">
        <v>48</v>
      </c>
      <c r="C11" s="3" t="s">
        <v>49</v>
      </c>
      <c r="D11" s="5" t="s">
        <v>50</v>
      </c>
      <c r="E11" s="2" t="s">
        <v>13</v>
      </c>
      <c r="F11" s="3" t="s">
        <v>51</v>
      </c>
      <c r="G11" s="3" t="s">
        <v>52</v>
      </c>
      <c r="H11" s="2" t="s">
        <v>16</v>
      </c>
      <c r="I11" s="3"/>
      <c r="J11" s="3"/>
    </row>
    <row r="12" customFormat="false" ht="15" hidden="false" customHeight="false" outlineLevel="0" collapsed="false">
      <c r="A12" s="2" t="n">
        <v>11</v>
      </c>
      <c r="B12" s="2" t="s">
        <v>53</v>
      </c>
      <c r="C12" s="3" t="s">
        <v>54</v>
      </c>
      <c r="D12" s="5" t="s">
        <v>50</v>
      </c>
      <c r="E12" s="2" t="s">
        <v>13</v>
      </c>
      <c r="F12" s="3" t="s">
        <v>55</v>
      </c>
      <c r="G12" s="3" t="s">
        <v>24</v>
      </c>
      <c r="H12" s="2" t="s">
        <v>16</v>
      </c>
      <c r="I12" s="3"/>
      <c r="J12" s="3"/>
    </row>
    <row r="13" customFormat="false" ht="23.85" hidden="false" customHeight="false" outlineLevel="0" collapsed="false">
      <c r="A13" s="2" t="n">
        <v>12</v>
      </c>
      <c r="B13" s="2" t="s">
        <v>56</v>
      </c>
      <c r="C13" s="3" t="s">
        <v>57</v>
      </c>
      <c r="D13" s="5" t="s">
        <v>50</v>
      </c>
      <c r="E13" s="2" t="s">
        <v>13</v>
      </c>
      <c r="F13" s="3" t="s">
        <v>58</v>
      </c>
      <c r="G13" s="3" t="s">
        <v>59</v>
      </c>
      <c r="H13" s="2" t="s">
        <v>16</v>
      </c>
      <c r="I13" s="3"/>
      <c r="J13" s="3"/>
    </row>
    <row r="14" customFormat="false" ht="23.85" hidden="false" customHeight="false" outlineLevel="0" collapsed="false">
      <c r="A14" s="2" t="n">
        <v>13</v>
      </c>
      <c r="B14" s="2" t="s">
        <v>60</v>
      </c>
      <c r="C14" s="3" t="s">
        <v>61</v>
      </c>
      <c r="D14" s="5" t="s">
        <v>50</v>
      </c>
      <c r="E14" s="2" t="s">
        <v>13</v>
      </c>
      <c r="F14" s="3" t="s">
        <v>62</v>
      </c>
      <c r="G14" s="3" t="s">
        <v>63</v>
      </c>
      <c r="H14" s="2" t="s">
        <v>16</v>
      </c>
      <c r="I14" s="3"/>
      <c r="J14" s="3"/>
    </row>
    <row r="15" customFormat="false" ht="23.85" hidden="false" customHeight="false" outlineLevel="0" collapsed="false">
      <c r="A15" s="2" t="n">
        <v>14</v>
      </c>
      <c r="B15" s="2" t="s">
        <v>64</v>
      </c>
      <c r="C15" s="3" t="s">
        <v>65</v>
      </c>
      <c r="D15" s="5" t="s">
        <v>50</v>
      </c>
      <c r="E15" s="2" t="s">
        <v>13</v>
      </c>
      <c r="F15" s="3" t="s">
        <v>66</v>
      </c>
      <c r="G15" s="3" t="s">
        <v>67</v>
      </c>
      <c r="H15" s="2" t="s">
        <v>16</v>
      </c>
      <c r="I15" s="3"/>
      <c r="J15" s="3"/>
    </row>
    <row r="16" customFormat="false" ht="23.85" hidden="false" customHeight="false" outlineLevel="0" collapsed="false">
      <c r="A16" s="2" t="n">
        <v>15</v>
      </c>
      <c r="B16" s="2" t="s">
        <v>68</v>
      </c>
      <c r="C16" s="3" t="s">
        <v>69</v>
      </c>
      <c r="D16" s="5" t="s">
        <v>50</v>
      </c>
      <c r="E16" s="2" t="s">
        <v>13</v>
      </c>
      <c r="F16" s="3" t="s">
        <v>70</v>
      </c>
      <c r="G16" s="3" t="s">
        <v>71</v>
      </c>
      <c r="H16" s="2" t="s">
        <v>16</v>
      </c>
      <c r="I16" s="3"/>
      <c r="J16" s="3"/>
    </row>
    <row r="17" customFormat="false" ht="23.85" hidden="false" customHeight="false" outlineLevel="0" collapsed="false">
      <c r="A17" s="2" t="n">
        <v>16</v>
      </c>
      <c r="B17" s="2" t="s">
        <v>72</v>
      </c>
      <c r="C17" s="3" t="s">
        <v>73</v>
      </c>
      <c r="D17" s="5" t="s">
        <v>50</v>
      </c>
      <c r="E17" s="2" t="s">
        <v>13</v>
      </c>
      <c r="F17" s="3" t="s">
        <v>74</v>
      </c>
      <c r="G17" s="3" t="s">
        <v>39</v>
      </c>
      <c r="H17" s="2" t="s">
        <v>16</v>
      </c>
      <c r="I17" s="3"/>
      <c r="J17" s="3"/>
    </row>
    <row r="18" customFormat="false" ht="23.85" hidden="false" customHeight="false" outlineLevel="0" collapsed="false">
      <c r="A18" s="2" t="n">
        <v>17</v>
      </c>
      <c r="B18" s="2" t="s">
        <v>75</v>
      </c>
      <c r="C18" s="3" t="s">
        <v>76</v>
      </c>
      <c r="D18" s="5" t="s">
        <v>50</v>
      </c>
      <c r="E18" s="2" t="s">
        <v>13</v>
      </c>
      <c r="F18" s="3" t="s">
        <v>77</v>
      </c>
      <c r="G18" s="3" t="s">
        <v>78</v>
      </c>
      <c r="H18" s="2" t="s">
        <v>16</v>
      </c>
      <c r="I18" s="3"/>
      <c r="J18" s="3"/>
    </row>
    <row r="19" customFormat="false" ht="23.85" hidden="false" customHeight="false" outlineLevel="0" collapsed="false">
      <c r="A19" s="2" t="n">
        <v>18</v>
      </c>
      <c r="B19" s="2" t="s">
        <v>79</v>
      </c>
      <c r="C19" s="3" t="s">
        <v>80</v>
      </c>
      <c r="D19" s="5" t="s">
        <v>50</v>
      </c>
      <c r="E19" s="2" t="s">
        <v>13</v>
      </c>
      <c r="F19" s="3" t="s">
        <v>81</v>
      </c>
      <c r="G19" s="3" t="s">
        <v>82</v>
      </c>
      <c r="H19" s="2" t="s">
        <v>16</v>
      </c>
      <c r="I19" s="3"/>
      <c r="J19" s="3"/>
    </row>
    <row r="20" customFormat="false" ht="23.85" hidden="false" customHeight="false" outlineLevel="0" collapsed="false">
      <c r="A20" s="2" t="n">
        <v>19</v>
      </c>
      <c r="B20" s="2" t="s">
        <v>83</v>
      </c>
      <c r="C20" s="3" t="s">
        <v>84</v>
      </c>
      <c r="D20" s="5" t="s">
        <v>50</v>
      </c>
      <c r="E20" s="2" t="s">
        <v>13</v>
      </c>
      <c r="F20" s="3" t="s">
        <v>85</v>
      </c>
      <c r="G20" s="3" t="s">
        <v>86</v>
      </c>
      <c r="H20" s="2" t="s">
        <v>16</v>
      </c>
      <c r="I20" s="3"/>
      <c r="J20" s="3"/>
    </row>
    <row r="21" customFormat="false" ht="23.85" hidden="false" customHeight="false" outlineLevel="0" collapsed="false">
      <c r="A21" s="2" t="n">
        <v>20</v>
      </c>
      <c r="B21" s="2" t="s">
        <v>87</v>
      </c>
      <c r="C21" s="3" t="s">
        <v>88</v>
      </c>
      <c r="D21" s="5" t="s">
        <v>50</v>
      </c>
      <c r="E21" s="2" t="s">
        <v>13</v>
      </c>
      <c r="F21" s="3" t="s">
        <v>89</v>
      </c>
      <c r="G21" s="3" t="s">
        <v>90</v>
      </c>
      <c r="H21" s="2" t="s">
        <v>16</v>
      </c>
      <c r="I21" s="3"/>
      <c r="J21" s="3"/>
    </row>
    <row r="22" customFormat="false" ht="23.85" hidden="false" customHeight="false" outlineLevel="0" collapsed="false">
      <c r="A22" s="2" t="n">
        <v>21</v>
      </c>
      <c r="B22" s="2" t="s">
        <v>91</v>
      </c>
      <c r="C22" s="3" t="s">
        <v>92</v>
      </c>
      <c r="D22" s="4" t="s">
        <v>12</v>
      </c>
      <c r="E22" s="2" t="s">
        <v>93</v>
      </c>
      <c r="F22" s="3" t="s">
        <v>94</v>
      </c>
      <c r="G22" s="3" t="s">
        <v>95</v>
      </c>
      <c r="H22" s="2" t="s">
        <v>16</v>
      </c>
      <c r="I22" s="3"/>
      <c r="J22" s="3"/>
    </row>
    <row r="23" customFormat="false" ht="23.85" hidden="false" customHeight="false" outlineLevel="0" collapsed="false">
      <c r="A23" s="2" t="n">
        <v>22</v>
      </c>
      <c r="B23" s="2" t="s">
        <v>96</v>
      </c>
      <c r="C23" s="3" t="s">
        <v>97</v>
      </c>
      <c r="D23" s="4" t="s">
        <v>12</v>
      </c>
      <c r="E23" s="2" t="s">
        <v>93</v>
      </c>
      <c r="F23" s="3" t="s">
        <v>98</v>
      </c>
      <c r="G23" s="3" t="s">
        <v>99</v>
      </c>
      <c r="H23" s="2" t="s">
        <v>16</v>
      </c>
      <c r="I23" s="3"/>
      <c r="J23" s="3"/>
    </row>
    <row r="24" customFormat="false" ht="23.85" hidden="false" customHeight="false" outlineLevel="0" collapsed="false">
      <c r="A24" s="2" t="n">
        <v>23</v>
      </c>
      <c r="B24" s="2" t="s">
        <v>100</v>
      </c>
      <c r="C24" s="3" t="s">
        <v>101</v>
      </c>
      <c r="D24" s="4" t="s">
        <v>12</v>
      </c>
      <c r="E24" s="2" t="s">
        <v>93</v>
      </c>
      <c r="F24" s="3" t="s">
        <v>102</v>
      </c>
      <c r="G24" s="3" t="s">
        <v>103</v>
      </c>
      <c r="H24" s="2" t="s">
        <v>16</v>
      </c>
      <c r="I24" s="3"/>
      <c r="J24" s="3"/>
    </row>
    <row r="25" customFormat="false" ht="23.85" hidden="false" customHeight="false" outlineLevel="0" collapsed="false">
      <c r="A25" s="2" t="n">
        <v>24</v>
      </c>
      <c r="B25" s="2" t="s">
        <v>104</v>
      </c>
      <c r="C25" s="3" t="s">
        <v>105</v>
      </c>
      <c r="D25" s="4" t="s">
        <v>12</v>
      </c>
      <c r="E25" s="2" t="s">
        <v>93</v>
      </c>
      <c r="F25" s="3" t="s">
        <v>106</v>
      </c>
      <c r="G25" s="3" t="s">
        <v>107</v>
      </c>
      <c r="H25" s="2" t="s">
        <v>16</v>
      </c>
      <c r="I25" s="3"/>
      <c r="J25" s="3"/>
    </row>
    <row r="26" customFormat="false" ht="23.85" hidden="false" customHeight="false" outlineLevel="0" collapsed="false">
      <c r="A26" s="2" t="n">
        <v>25</v>
      </c>
      <c r="B26" s="2" t="s">
        <v>108</v>
      </c>
      <c r="C26" s="3" t="s">
        <v>109</v>
      </c>
      <c r="D26" s="4" t="s">
        <v>12</v>
      </c>
      <c r="E26" s="2" t="s">
        <v>93</v>
      </c>
      <c r="F26" s="3" t="s">
        <v>110</v>
      </c>
      <c r="G26" s="3" t="s">
        <v>111</v>
      </c>
      <c r="H26" s="2" t="s">
        <v>16</v>
      </c>
      <c r="I26" s="3"/>
      <c r="J26" s="3"/>
    </row>
    <row r="27" customFormat="false" ht="15" hidden="false" customHeight="false" outlineLevel="0" collapsed="false">
      <c r="A27" s="2" t="n">
        <v>26</v>
      </c>
      <c r="B27" s="2" t="s">
        <v>112</v>
      </c>
      <c r="C27" s="3" t="s">
        <v>113</v>
      </c>
      <c r="D27" s="4" t="s">
        <v>12</v>
      </c>
      <c r="E27" s="2" t="s">
        <v>93</v>
      </c>
      <c r="F27" s="3" t="s">
        <v>114</v>
      </c>
      <c r="G27" s="3" t="s">
        <v>115</v>
      </c>
      <c r="H27" s="2" t="s">
        <v>16</v>
      </c>
      <c r="I27" s="3"/>
      <c r="J27" s="3"/>
    </row>
    <row r="28" customFormat="false" ht="23.85" hidden="false" customHeight="false" outlineLevel="0" collapsed="false">
      <c r="A28" s="2" t="n">
        <v>27</v>
      </c>
      <c r="B28" s="2" t="s">
        <v>116</v>
      </c>
      <c r="C28" s="3" t="s">
        <v>117</v>
      </c>
      <c r="D28" s="4" t="s">
        <v>12</v>
      </c>
      <c r="E28" s="2" t="s">
        <v>93</v>
      </c>
      <c r="F28" s="3" t="s">
        <v>118</v>
      </c>
      <c r="G28" s="3" t="s">
        <v>119</v>
      </c>
      <c r="H28" s="2" t="s">
        <v>16</v>
      </c>
      <c r="I28" s="3"/>
      <c r="J28" s="3"/>
    </row>
    <row r="29" customFormat="false" ht="15" hidden="false" customHeight="false" outlineLevel="0" collapsed="false">
      <c r="A29" s="2" t="n">
        <v>28</v>
      </c>
      <c r="B29" s="2" t="s">
        <v>120</v>
      </c>
      <c r="C29" s="3" t="s">
        <v>121</v>
      </c>
      <c r="D29" s="4" t="s">
        <v>12</v>
      </c>
      <c r="E29" s="2" t="s">
        <v>93</v>
      </c>
      <c r="F29" s="3" t="s">
        <v>122</v>
      </c>
      <c r="G29" s="3" t="s">
        <v>123</v>
      </c>
      <c r="H29" s="2" t="s">
        <v>16</v>
      </c>
      <c r="I29" s="3"/>
      <c r="J29" s="3"/>
    </row>
    <row r="30" customFormat="false" ht="23.85" hidden="false" customHeight="false" outlineLevel="0" collapsed="false">
      <c r="A30" s="2" t="n">
        <v>29</v>
      </c>
      <c r="B30" s="2" t="s">
        <v>124</v>
      </c>
      <c r="C30" s="3" t="s">
        <v>125</v>
      </c>
      <c r="D30" s="4" t="s">
        <v>12</v>
      </c>
      <c r="E30" s="2" t="s">
        <v>93</v>
      </c>
      <c r="F30" s="3" t="s">
        <v>126</v>
      </c>
      <c r="G30" s="3" t="s">
        <v>127</v>
      </c>
      <c r="H30" s="2" t="s">
        <v>16</v>
      </c>
      <c r="I30" s="3"/>
      <c r="J30" s="3"/>
    </row>
    <row r="31" customFormat="false" ht="23.85" hidden="false" customHeight="false" outlineLevel="0" collapsed="false">
      <c r="A31" s="2" t="n">
        <v>30</v>
      </c>
      <c r="B31" s="2" t="s">
        <v>128</v>
      </c>
      <c r="C31" s="3" t="s">
        <v>129</v>
      </c>
      <c r="D31" s="4" t="s">
        <v>12</v>
      </c>
      <c r="E31" s="2" t="s">
        <v>93</v>
      </c>
      <c r="F31" s="3" t="s">
        <v>130</v>
      </c>
      <c r="G31" s="3" t="s">
        <v>39</v>
      </c>
      <c r="H31" s="2" t="s">
        <v>16</v>
      </c>
      <c r="I31" s="3"/>
      <c r="J31" s="3"/>
    </row>
    <row r="32" customFormat="false" ht="23.85" hidden="false" customHeight="false" outlineLevel="0" collapsed="false">
      <c r="A32" s="2" t="n">
        <v>31</v>
      </c>
      <c r="B32" s="2" t="s">
        <v>131</v>
      </c>
      <c r="C32" s="3" t="s">
        <v>132</v>
      </c>
      <c r="D32" s="4" t="s">
        <v>12</v>
      </c>
      <c r="E32" s="2" t="s">
        <v>93</v>
      </c>
      <c r="F32" s="3" t="s">
        <v>133</v>
      </c>
      <c r="G32" s="3" t="s">
        <v>134</v>
      </c>
      <c r="H32" s="2" t="s">
        <v>16</v>
      </c>
      <c r="I32" s="3"/>
      <c r="J32" s="3"/>
    </row>
    <row r="33" customFormat="false" ht="23.85" hidden="false" customHeight="false" outlineLevel="0" collapsed="false">
      <c r="A33" s="2" t="n">
        <v>32</v>
      </c>
      <c r="B33" s="2" t="s">
        <v>135</v>
      </c>
      <c r="C33" s="3" t="s">
        <v>136</v>
      </c>
      <c r="D33" s="4" t="s">
        <v>12</v>
      </c>
      <c r="E33" s="2" t="s">
        <v>93</v>
      </c>
      <c r="F33" s="3" t="s">
        <v>137</v>
      </c>
      <c r="G33" s="3" t="s">
        <v>138</v>
      </c>
      <c r="H33" s="2" t="s">
        <v>16</v>
      </c>
      <c r="I33" s="3"/>
      <c r="J33" s="3"/>
    </row>
    <row r="34" customFormat="false" ht="23.85" hidden="false" customHeight="false" outlineLevel="0" collapsed="false">
      <c r="A34" s="2" t="n">
        <v>33</v>
      </c>
      <c r="B34" s="2" t="s">
        <v>139</v>
      </c>
      <c r="C34" s="3" t="s">
        <v>140</v>
      </c>
      <c r="D34" s="4" t="s">
        <v>12</v>
      </c>
      <c r="E34" s="2" t="s">
        <v>93</v>
      </c>
      <c r="F34" s="3" t="s">
        <v>141</v>
      </c>
      <c r="G34" s="3" t="s">
        <v>142</v>
      </c>
      <c r="H34" s="2" t="s">
        <v>16</v>
      </c>
      <c r="I34" s="3"/>
      <c r="J34" s="3"/>
    </row>
    <row r="35" customFormat="false" ht="23.85" hidden="false" customHeight="false" outlineLevel="0" collapsed="false">
      <c r="A35" s="2" t="n">
        <v>34</v>
      </c>
      <c r="B35" s="2" t="s">
        <v>143</v>
      </c>
      <c r="C35" s="3" t="s">
        <v>144</v>
      </c>
      <c r="D35" s="4" t="s">
        <v>12</v>
      </c>
      <c r="E35" s="2" t="s">
        <v>93</v>
      </c>
      <c r="F35" s="3" t="s">
        <v>145</v>
      </c>
      <c r="G35" s="3" t="s">
        <v>146</v>
      </c>
      <c r="H35" s="2" t="s">
        <v>16</v>
      </c>
      <c r="I35" s="3"/>
      <c r="J35" s="3"/>
    </row>
    <row r="36" customFormat="false" ht="23.85" hidden="false" customHeight="false" outlineLevel="0" collapsed="false">
      <c r="A36" s="2" t="n">
        <v>35</v>
      </c>
      <c r="B36" s="2" t="s">
        <v>147</v>
      </c>
      <c r="C36" s="3" t="s">
        <v>148</v>
      </c>
      <c r="D36" s="5" t="s">
        <v>50</v>
      </c>
      <c r="E36" s="2" t="s">
        <v>93</v>
      </c>
      <c r="F36" s="3" t="s">
        <v>149</v>
      </c>
      <c r="G36" s="3" t="s">
        <v>150</v>
      </c>
      <c r="H36" s="2" t="s">
        <v>16</v>
      </c>
      <c r="I36" s="3"/>
      <c r="J36" s="3"/>
    </row>
    <row r="37" customFormat="false" ht="23.85" hidden="false" customHeight="false" outlineLevel="0" collapsed="false">
      <c r="A37" s="2" t="n">
        <v>36</v>
      </c>
      <c r="B37" s="2" t="s">
        <v>151</v>
      </c>
      <c r="C37" s="3" t="s">
        <v>152</v>
      </c>
      <c r="D37" s="5" t="s">
        <v>50</v>
      </c>
      <c r="E37" s="2" t="s">
        <v>93</v>
      </c>
      <c r="F37" s="3" t="s">
        <v>153</v>
      </c>
      <c r="G37" s="3" t="s">
        <v>39</v>
      </c>
      <c r="H37" s="2" t="s">
        <v>16</v>
      </c>
      <c r="I37" s="3"/>
      <c r="J37" s="3"/>
    </row>
    <row r="38" customFormat="false" ht="23.85" hidden="false" customHeight="false" outlineLevel="0" collapsed="false">
      <c r="A38" s="2" t="n">
        <v>37</v>
      </c>
      <c r="B38" s="2" t="s">
        <v>154</v>
      </c>
      <c r="C38" s="3" t="s">
        <v>155</v>
      </c>
      <c r="D38" s="5" t="s">
        <v>50</v>
      </c>
      <c r="E38" s="2" t="s">
        <v>93</v>
      </c>
      <c r="F38" s="3" t="s">
        <v>156</v>
      </c>
      <c r="G38" s="3" t="s">
        <v>157</v>
      </c>
      <c r="H38" s="2" t="s">
        <v>16</v>
      </c>
      <c r="I38" s="3"/>
      <c r="J38" s="3"/>
    </row>
    <row r="39" customFormat="false" ht="23.85" hidden="false" customHeight="false" outlineLevel="0" collapsed="false">
      <c r="A39" s="2" t="n">
        <v>38</v>
      </c>
      <c r="B39" s="2" t="s">
        <v>158</v>
      </c>
      <c r="C39" s="3" t="s">
        <v>159</v>
      </c>
      <c r="D39" s="5" t="s">
        <v>50</v>
      </c>
      <c r="E39" s="2" t="s">
        <v>93</v>
      </c>
      <c r="F39" s="3" t="s">
        <v>160</v>
      </c>
      <c r="G39" s="3" t="s">
        <v>161</v>
      </c>
      <c r="H39" s="2" t="s">
        <v>16</v>
      </c>
      <c r="I39" s="3"/>
      <c r="J39" s="3"/>
    </row>
    <row r="40" customFormat="false" ht="23.85" hidden="false" customHeight="false" outlineLevel="0" collapsed="false">
      <c r="A40" s="2" t="n">
        <v>39</v>
      </c>
      <c r="B40" s="2" t="s">
        <v>162</v>
      </c>
      <c r="C40" s="3" t="s">
        <v>163</v>
      </c>
      <c r="D40" s="5" t="s">
        <v>50</v>
      </c>
      <c r="E40" s="2" t="s">
        <v>93</v>
      </c>
      <c r="F40" s="3" t="s">
        <v>164</v>
      </c>
      <c r="G40" s="3" t="s">
        <v>165</v>
      </c>
      <c r="H40" s="2" t="s">
        <v>16</v>
      </c>
      <c r="I40" s="3"/>
      <c r="J40" s="3"/>
    </row>
    <row r="41" customFormat="false" ht="23.85" hidden="false" customHeight="false" outlineLevel="0" collapsed="false">
      <c r="A41" s="2" t="n">
        <v>40</v>
      </c>
      <c r="B41" s="2" t="s">
        <v>166</v>
      </c>
      <c r="C41" s="3" t="s">
        <v>167</v>
      </c>
      <c r="D41" s="5" t="s">
        <v>50</v>
      </c>
      <c r="E41" s="2" t="s">
        <v>93</v>
      </c>
      <c r="F41" s="3" t="s">
        <v>168</v>
      </c>
      <c r="G41" s="3" t="s">
        <v>169</v>
      </c>
      <c r="H41" s="2" t="s">
        <v>16</v>
      </c>
      <c r="I41" s="3"/>
      <c r="J41" s="3"/>
    </row>
    <row r="42" customFormat="false" ht="23.85" hidden="false" customHeight="false" outlineLevel="0" collapsed="false">
      <c r="A42" s="2" t="n">
        <v>41</v>
      </c>
      <c r="B42" s="2" t="s">
        <v>170</v>
      </c>
      <c r="C42" s="3" t="s">
        <v>171</v>
      </c>
      <c r="D42" s="4" t="s">
        <v>12</v>
      </c>
      <c r="E42" s="2" t="s">
        <v>172</v>
      </c>
      <c r="F42" s="3" t="s">
        <v>173</v>
      </c>
      <c r="G42" s="3" t="s">
        <v>174</v>
      </c>
      <c r="H42" s="2" t="s">
        <v>16</v>
      </c>
      <c r="I42" s="3"/>
      <c r="J42" s="3"/>
    </row>
    <row r="43" customFormat="false" ht="23.85" hidden="false" customHeight="false" outlineLevel="0" collapsed="false">
      <c r="A43" s="2" t="n">
        <v>42</v>
      </c>
      <c r="B43" s="2" t="s">
        <v>175</v>
      </c>
      <c r="C43" s="3" t="s">
        <v>176</v>
      </c>
      <c r="D43" s="4" t="s">
        <v>12</v>
      </c>
      <c r="E43" s="2" t="s">
        <v>172</v>
      </c>
      <c r="F43" s="3" t="s">
        <v>177</v>
      </c>
      <c r="G43" s="3" t="s">
        <v>127</v>
      </c>
      <c r="H43" s="2" t="s">
        <v>16</v>
      </c>
      <c r="I43" s="3"/>
      <c r="J43" s="3"/>
    </row>
    <row r="44" customFormat="false" ht="23.85" hidden="false" customHeight="false" outlineLevel="0" collapsed="false">
      <c r="A44" s="2" t="n">
        <v>43</v>
      </c>
      <c r="B44" s="2" t="s">
        <v>178</v>
      </c>
      <c r="C44" s="3" t="s">
        <v>179</v>
      </c>
      <c r="D44" s="4" t="s">
        <v>12</v>
      </c>
      <c r="E44" s="2" t="s">
        <v>172</v>
      </c>
      <c r="F44" s="3" t="s">
        <v>180</v>
      </c>
      <c r="G44" s="3" t="s">
        <v>181</v>
      </c>
      <c r="H44" s="2" t="s">
        <v>16</v>
      </c>
      <c r="I44" s="3"/>
      <c r="J44" s="3"/>
    </row>
    <row r="45" customFormat="false" ht="23.85" hidden="false" customHeight="false" outlineLevel="0" collapsed="false">
      <c r="A45" s="2" t="n">
        <v>44</v>
      </c>
      <c r="B45" s="2" t="s">
        <v>182</v>
      </c>
      <c r="C45" s="3" t="s">
        <v>183</v>
      </c>
      <c r="D45" s="4" t="s">
        <v>12</v>
      </c>
      <c r="E45" s="2" t="s">
        <v>172</v>
      </c>
      <c r="F45" s="3" t="s">
        <v>184</v>
      </c>
      <c r="G45" s="3" t="s">
        <v>185</v>
      </c>
      <c r="H45" s="2" t="s">
        <v>16</v>
      </c>
      <c r="I45" s="3"/>
      <c r="J45" s="3"/>
    </row>
    <row r="46" customFormat="false" ht="23.85" hidden="false" customHeight="false" outlineLevel="0" collapsed="false">
      <c r="A46" s="2" t="n">
        <v>45</v>
      </c>
      <c r="B46" s="2" t="s">
        <v>186</v>
      </c>
      <c r="C46" s="3" t="s">
        <v>187</v>
      </c>
      <c r="D46" s="4" t="s">
        <v>12</v>
      </c>
      <c r="E46" s="2" t="s">
        <v>172</v>
      </c>
      <c r="F46" s="3" t="s">
        <v>188</v>
      </c>
      <c r="G46" s="3" t="s">
        <v>189</v>
      </c>
      <c r="H46" s="2" t="s">
        <v>16</v>
      </c>
      <c r="I46" s="3"/>
      <c r="J46" s="3"/>
    </row>
    <row r="47" customFormat="false" ht="15" hidden="false" customHeight="false" outlineLevel="0" collapsed="false">
      <c r="A47" s="2" t="n">
        <v>46</v>
      </c>
      <c r="B47" s="2" t="s">
        <v>190</v>
      </c>
      <c r="C47" s="3" t="s">
        <v>191</v>
      </c>
      <c r="D47" s="4" t="s">
        <v>12</v>
      </c>
      <c r="E47" s="2" t="s">
        <v>172</v>
      </c>
      <c r="F47" s="3" t="s">
        <v>192</v>
      </c>
      <c r="G47" s="3" t="s">
        <v>193</v>
      </c>
      <c r="H47" s="2" t="s">
        <v>16</v>
      </c>
      <c r="I47" s="3"/>
      <c r="J47" s="3"/>
    </row>
    <row r="48" customFormat="false" ht="23.85" hidden="false" customHeight="false" outlineLevel="0" collapsed="false">
      <c r="A48" s="2" t="n">
        <v>47</v>
      </c>
      <c r="B48" s="2" t="s">
        <v>194</v>
      </c>
      <c r="C48" s="3" t="s">
        <v>195</v>
      </c>
      <c r="D48" s="4" t="s">
        <v>12</v>
      </c>
      <c r="E48" s="2" t="s">
        <v>172</v>
      </c>
      <c r="F48" s="3" t="s">
        <v>196</v>
      </c>
      <c r="G48" s="3" t="s">
        <v>197</v>
      </c>
      <c r="H48" s="2" t="s">
        <v>16</v>
      </c>
      <c r="I48" s="3"/>
      <c r="J48" s="3"/>
    </row>
    <row r="49" customFormat="false" ht="23.85" hidden="false" customHeight="false" outlineLevel="0" collapsed="false">
      <c r="A49" s="2" t="n">
        <v>48</v>
      </c>
      <c r="B49" s="2" t="s">
        <v>198</v>
      </c>
      <c r="C49" s="3" t="s">
        <v>199</v>
      </c>
      <c r="D49" s="5" t="s">
        <v>50</v>
      </c>
      <c r="E49" s="2" t="s">
        <v>172</v>
      </c>
      <c r="F49" s="3" t="s">
        <v>200</v>
      </c>
      <c r="G49" s="3" t="s">
        <v>201</v>
      </c>
      <c r="H49" s="2" t="s">
        <v>16</v>
      </c>
      <c r="I49" s="3"/>
      <c r="J49" s="3"/>
    </row>
    <row r="50" customFormat="false" ht="23.85" hidden="false" customHeight="false" outlineLevel="0" collapsed="false">
      <c r="A50" s="2" t="n">
        <v>49</v>
      </c>
      <c r="B50" s="2" t="s">
        <v>202</v>
      </c>
      <c r="C50" s="3" t="s">
        <v>203</v>
      </c>
      <c r="D50" s="5" t="s">
        <v>50</v>
      </c>
      <c r="E50" s="2" t="s">
        <v>172</v>
      </c>
      <c r="F50" s="3" t="s">
        <v>204</v>
      </c>
      <c r="G50" s="3" t="s">
        <v>185</v>
      </c>
      <c r="H50" s="2" t="s">
        <v>16</v>
      </c>
      <c r="I50" s="3"/>
      <c r="J50" s="3"/>
    </row>
    <row r="51" customFormat="false" ht="23.85" hidden="false" customHeight="false" outlineLevel="0" collapsed="false">
      <c r="A51" s="2" t="n">
        <v>50</v>
      </c>
      <c r="B51" s="2" t="s">
        <v>205</v>
      </c>
      <c r="C51" s="3" t="s">
        <v>206</v>
      </c>
      <c r="D51" s="5" t="s">
        <v>50</v>
      </c>
      <c r="E51" s="2" t="s">
        <v>172</v>
      </c>
      <c r="F51" s="3" t="s">
        <v>207</v>
      </c>
      <c r="G51" s="3" t="s">
        <v>185</v>
      </c>
      <c r="H51" s="2" t="s">
        <v>16</v>
      </c>
      <c r="I51" s="3"/>
      <c r="J51" s="3"/>
    </row>
    <row r="52" customFormat="false" ht="23.85" hidden="false" customHeight="false" outlineLevel="0" collapsed="false">
      <c r="A52" s="2" t="n">
        <v>51</v>
      </c>
      <c r="B52" s="2" t="s">
        <v>208</v>
      </c>
      <c r="C52" s="3" t="s">
        <v>209</v>
      </c>
      <c r="D52" s="5" t="s">
        <v>50</v>
      </c>
      <c r="E52" s="2" t="s">
        <v>172</v>
      </c>
      <c r="F52" s="3" t="s">
        <v>210</v>
      </c>
      <c r="G52" s="3" t="s">
        <v>189</v>
      </c>
      <c r="H52" s="2" t="s">
        <v>16</v>
      </c>
      <c r="I52" s="3"/>
      <c r="J52" s="3"/>
    </row>
    <row r="53" customFormat="false" ht="23.85" hidden="false" customHeight="false" outlineLevel="0" collapsed="false">
      <c r="A53" s="2" t="n">
        <v>52</v>
      </c>
      <c r="B53" s="2" t="s">
        <v>211</v>
      </c>
      <c r="C53" s="3" t="s">
        <v>212</v>
      </c>
      <c r="D53" s="5" t="s">
        <v>50</v>
      </c>
      <c r="E53" s="2" t="s">
        <v>172</v>
      </c>
      <c r="F53" s="3" t="s">
        <v>213</v>
      </c>
      <c r="G53" s="3" t="s">
        <v>214</v>
      </c>
      <c r="H53" s="2" t="s">
        <v>16</v>
      </c>
      <c r="I53" s="3"/>
      <c r="J53" s="3"/>
    </row>
    <row r="54" customFormat="false" ht="23.85" hidden="false" customHeight="false" outlineLevel="0" collapsed="false">
      <c r="A54" s="2" t="n">
        <v>53</v>
      </c>
      <c r="B54" s="2" t="s">
        <v>215</v>
      </c>
      <c r="C54" s="3" t="s">
        <v>216</v>
      </c>
      <c r="D54" s="5" t="s">
        <v>50</v>
      </c>
      <c r="E54" s="2" t="s">
        <v>172</v>
      </c>
      <c r="F54" s="3" t="s">
        <v>217</v>
      </c>
      <c r="G54" s="3" t="s">
        <v>218</v>
      </c>
      <c r="H54" s="2" t="s">
        <v>16</v>
      </c>
      <c r="I54" s="3"/>
      <c r="J54" s="3"/>
    </row>
    <row r="55" customFormat="false" ht="23.85" hidden="false" customHeight="false" outlineLevel="0" collapsed="false">
      <c r="A55" s="2" t="n">
        <v>54</v>
      </c>
      <c r="B55" s="2" t="s">
        <v>219</v>
      </c>
      <c r="C55" s="3" t="s">
        <v>220</v>
      </c>
      <c r="D55" s="4" t="s">
        <v>12</v>
      </c>
      <c r="E55" s="2" t="s">
        <v>221</v>
      </c>
      <c r="F55" s="3" t="s">
        <v>222</v>
      </c>
      <c r="G55" s="3" t="s">
        <v>223</v>
      </c>
      <c r="H55" s="2" t="s">
        <v>16</v>
      </c>
      <c r="I55" s="3"/>
      <c r="J55" s="3"/>
    </row>
    <row r="56" customFormat="false" ht="23.85" hidden="false" customHeight="false" outlineLevel="0" collapsed="false">
      <c r="A56" s="2" t="n">
        <v>55</v>
      </c>
      <c r="B56" s="2" t="s">
        <v>224</v>
      </c>
      <c r="C56" s="3" t="s">
        <v>225</v>
      </c>
      <c r="D56" s="5" t="s">
        <v>50</v>
      </c>
      <c r="E56" s="2" t="s">
        <v>221</v>
      </c>
      <c r="F56" s="3" t="s">
        <v>226</v>
      </c>
      <c r="G56" s="3" t="s">
        <v>227</v>
      </c>
      <c r="H56" s="2" t="s">
        <v>16</v>
      </c>
      <c r="I56" s="3"/>
      <c r="J56" s="3"/>
    </row>
  </sheetData>
  <conditionalFormatting sqref="H2:H5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  <cfRule type="cellIs" priority="5" operator="equal" aboveAverage="0" equalAverage="0" bottom="0" percent="0" rank="0" text="" dxfId="3">
      <formula>"Not tested"</formula>
    </cfRule>
  </conditionalFormatting>
  <dataValidations count="1">
    <dataValidation allowBlank="true" errorStyle="stop" operator="between" showDropDown="false" showErrorMessage="false" showInputMessage="false" sqref="H2:H56" type="list">
      <formula1>"Not tested,Pass,Fail,N/A"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6" t="s">
        <v>228</v>
      </c>
    </row>
    <row r="3" customFormat="false" ht="15" hidden="false" customHeight="false" outlineLevel="0" collapsed="false">
      <c r="A3" s="7" t="s">
        <v>229</v>
      </c>
      <c r="B3" s="8"/>
    </row>
    <row r="4" customFormat="false" ht="15" hidden="false" customHeight="false" outlineLevel="0" collapsed="false">
      <c r="A4" s="7" t="s">
        <v>230</v>
      </c>
      <c r="B4" s="8"/>
    </row>
    <row r="5" customFormat="false" ht="15" hidden="false" customHeight="false" outlineLevel="0" collapsed="false">
      <c r="A5" s="7" t="s">
        <v>231</v>
      </c>
      <c r="B5" s="8"/>
    </row>
    <row r="7" customFormat="false" ht="15" hidden="false" customHeight="false" outlineLevel="0" collapsed="false">
      <c r="A7" s="9" t="s">
        <v>232</v>
      </c>
    </row>
    <row r="8" customFormat="false" ht="15" hidden="false" customHeight="false" outlineLevel="0" collapsed="false">
      <c r="A8" s="10" t="s">
        <v>233</v>
      </c>
      <c r="B8" s="7" t="n">
        <f aca="false">COUNTA('WCAG 2.2 AA Checklist'!B2:B56)</f>
        <v>55</v>
      </c>
    </row>
    <row r="9" customFormat="false" ht="15" hidden="false" customHeight="false" outlineLevel="0" collapsed="false">
      <c r="A9" s="10" t="s">
        <v>234</v>
      </c>
      <c r="B9" s="7" t="n">
        <f aca="false">COUNTIF('WCAG 2.2 AA Checklist'!D2:D56,"A")</f>
        <v>31</v>
      </c>
    </row>
    <row r="10" customFormat="false" ht="15" hidden="false" customHeight="false" outlineLevel="0" collapsed="false">
      <c r="A10" s="10" t="s">
        <v>235</v>
      </c>
      <c r="B10" s="7" t="n">
        <f aca="false">COUNTIF('WCAG 2.2 AA Checklist'!D2:D56,"AA")</f>
        <v>24</v>
      </c>
    </row>
    <row r="11" customFormat="false" ht="15" hidden="false" customHeight="false" outlineLevel="0" collapsed="false">
      <c r="A11" s="10" t="s">
        <v>236</v>
      </c>
      <c r="B11" s="7" t="n">
        <f aca="false">COUNTIF('WCAG 2.2 AA Checklist'!H2:H56,"Pass")</f>
        <v>0</v>
      </c>
    </row>
    <row r="12" customFormat="false" ht="15" hidden="false" customHeight="false" outlineLevel="0" collapsed="false">
      <c r="A12" s="10" t="s">
        <v>237</v>
      </c>
      <c r="B12" s="7" t="n">
        <f aca="false">COUNTIF('WCAG 2.2 AA Checklist'!H2:H56,"Fail")</f>
        <v>0</v>
      </c>
    </row>
    <row r="13" customFormat="false" ht="15" hidden="false" customHeight="false" outlineLevel="0" collapsed="false">
      <c r="A13" s="10" t="s">
        <v>16</v>
      </c>
      <c r="B13" s="7" t="n">
        <f aca="false">COUNTIF('WCAG 2.2 AA Checklist'!H2:H56,"Not tested")</f>
        <v>55</v>
      </c>
    </row>
    <row r="14" customFormat="false" ht="15" hidden="false" customHeight="false" outlineLevel="0" collapsed="false">
      <c r="A14" s="10" t="s">
        <v>238</v>
      </c>
      <c r="B14" s="7" t="n">
        <f aca="false">COUNTIF('WCAG 2.2 AA Checklist'!H2:H56,"N/A")</f>
        <v>0</v>
      </c>
    </row>
    <row r="15" customFormat="false" ht="15" hidden="false" customHeight="false" outlineLevel="0" collapsed="false">
      <c r="A15" s="10" t="s">
        <v>239</v>
      </c>
      <c r="B15" s="11" t="n">
        <f aca="false">(COUNTIF('WCAG 2.2 AA Checklist'!H2:H56,"Pass")+COUNTIF('WCAG 2.2 AA Checklist'!H2:H56,"N/A"))/COUNTA('WCAG 2.2 AA Checklist'!B2:B56)</f>
        <v>0</v>
      </c>
    </row>
    <row r="18" customFormat="false" ht="15" hidden="false" customHeight="false" outlineLevel="0" collapsed="false">
      <c r="A18" s="1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2026-07-08T00:24:59Z</dcterms:created>
  <dc:creator>openpyxl</dc:creator>
  <dc:description/>
  <dc:language>en-US</dc:language>
  <cp:lastModifiedBy/>
  <dcterms:modified xsi:type="dcterms:W3CDTF">2026-07-08T00:24:59Z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